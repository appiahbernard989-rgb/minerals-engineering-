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3fb774d085208b/Desktop/"/>
    </mc:Choice>
  </mc:AlternateContent>
  <xr:revisionPtr revIDLastSave="0" documentId="8_{29E73889-35B6-4339-B075-1B87A901C51B}" xr6:coauthVersionLast="47" xr6:coauthVersionMax="47" xr10:uidLastSave="{00000000-0000-0000-0000-000000000000}"/>
  <bookViews>
    <workbookView xWindow="-110" yWindow="-110" windowWidth="19420" windowHeight="10300" xr2:uid="{ADAE3B69-3BBE-4DF0-8300-ECE6F88E3D68}"/>
  </bookViews>
  <sheets>
    <sheet name="Sheet1" sheetId="1" r:id="rId1"/>
  </sheets>
  <definedNames>
    <definedName name="solver_adj" localSheetId="0" hidden="1">Sheet1!$B$12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Sheet1!$G$11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80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17" i="1"/>
  <c r="G2" i="1"/>
  <c r="H2" i="1"/>
  <c r="G11" i="1"/>
  <c r="G6" i="1"/>
  <c r="H6" i="1" s="1"/>
  <c r="G3" i="1"/>
  <c r="H3" i="1" s="1"/>
  <c r="G4" i="1"/>
  <c r="H4" i="1" s="1"/>
  <c r="G5" i="1"/>
  <c r="H5" i="1" s="1"/>
  <c r="G7" i="1"/>
  <c r="H7" i="1" s="1"/>
  <c r="E2" i="1"/>
  <c r="E3" i="1"/>
  <c r="E4" i="1"/>
  <c r="E5" i="1"/>
  <c r="E6" i="1"/>
  <c r="D9" i="1"/>
  <c r="D3" i="1"/>
  <c r="D4" i="1"/>
  <c r="D5" i="1"/>
  <c r="D6" i="1"/>
  <c r="D7" i="1"/>
  <c r="D2" i="1"/>
  <c r="C9" i="1"/>
  <c r="H9" i="1" l="1"/>
</calcChain>
</file>

<file path=xl/sharedStrings.xml><?xml version="1.0" encoding="utf-8"?>
<sst xmlns="http://schemas.openxmlformats.org/spreadsheetml/2006/main" count="19" uniqueCount="19">
  <si>
    <t>Aperture size</t>
  </si>
  <si>
    <t>Wt.,g</t>
  </si>
  <si>
    <t>Wt.,%</t>
  </si>
  <si>
    <t>Cum%(passing)</t>
  </si>
  <si>
    <t>RR</t>
  </si>
  <si>
    <t>(Errors)^2</t>
  </si>
  <si>
    <t>-38+0</t>
  </si>
  <si>
    <t>-75+38</t>
  </si>
  <si>
    <t>-106+75</t>
  </si>
  <si>
    <t>-150+106</t>
  </si>
  <si>
    <t>-300+150</t>
  </si>
  <si>
    <t>300</t>
  </si>
  <si>
    <t>Total</t>
  </si>
  <si>
    <t>n</t>
  </si>
  <si>
    <t>x'</t>
  </si>
  <si>
    <r>
      <t>d</t>
    </r>
    <r>
      <rPr>
        <vertAlign val="subscript"/>
        <sz val="11"/>
        <color theme="1"/>
        <rFont val="Calibri"/>
        <family val="2"/>
        <scheme val="minor"/>
      </rPr>
      <t>80</t>
    </r>
  </si>
  <si>
    <t>Screen size</t>
  </si>
  <si>
    <t xml:space="preserve">rosin </t>
  </si>
  <si>
    <t>Size,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</si>
</sst>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rosin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Sheet1!$A$17:$A$32</c:f>
              <c:numCache>
                <c:formatCode>General</c:formatCode>
                <c:ptCount val="16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800</c:v>
                </c:pt>
                <c:pt idx="15">
                  <c:v>840</c:v>
                </c:pt>
              </c:numCache>
            </c:numRef>
          </c:xVal>
          <c:yVal>
            <c:numRef>
              <c:f>Sheet1!$B$17:$B$32</c:f>
              <c:numCache>
                <c:formatCode>General</c:formatCode>
                <c:ptCount val="16"/>
                <c:pt idx="0">
                  <c:v>2.5078322310150725E-2</c:v>
                </c:pt>
                <c:pt idx="1">
                  <c:v>0.5308044792972737</c:v>
                </c:pt>
                <c:pt idx="2">
                  <c:v>1.96419092950795</c:v>
                </c:pt>
                <c:pt idx="3">
                  <c:v>10.679082541199946</c:v>
                </c:pt>
                <c:pt idx="4">
                  <c:v>34.357104608775501</c:v>
                </c:pt>
                <c:pt idx="5">
                  <c:v>79.174105358346765</c:v>
                </c:pt>
                <c:pt idx="6">
                  <c:v>96.620180628760224</c:v>
                </c:pt>
                <c:pt idx="7">
                  <c:v>98.931294611046454</c:v>
                </c:pt>
                <c:pt idx="8">
                  <c:v>99.711443492977835</c:v>
                </c:pt>
                <c:pt idx="9">
                  <c:v>99.986793125609523</c:v>
                </c:pt>
                <c:pt idx="10">
                  <c:v>99.997753426948194</c:v>
                </c:pt>
                <c:pt idx="11">
                  <c:v>99.999671342562124</c:v>
                </c:pt>
                <c:pt idx="12">
                  <c:v>99.999958595494704</c:v>
                </c:pt>
                <c:pt idx="13">
                  <c:v>99.999995502607874</c:v>
                </c:pt>
                <c:pt idx="14">
                  <c:v>99.999999965840118</c:v>
                </c:pt>
                <c:pt idx="15">
                  <c:v>99.999999995879534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6-448D-9122-E75434DA4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616128"/>
        <c:axId val="1268612800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38</c:v>
                </c:pt>
                <c:pt idx="1">
                  <c:v>75</c:v>
                </c:pt>
                <c:pt idx="2">
                  <c:v>106</c:v>
                </c:pt>
                <c:pt idx="3">
                  <c:v>150</c:v>
                </c:pt>
                <c:pt idx="4">
                  <c:v>300</c:v>
                </c:pt>
                <c:pt idx="5">
                  <c:v>500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4.9190265869923042</c:v>
                </c:pt>
                <c:pt idx="1">
                  <c:v>19.775699315839624</c:v>
                </c:pt>
                <c:pt idx="2">
                  <c:v>40.694552697670403</c:v>
                </c:pt>
                <c:pt idx="3">
                  <c:v>58.608296527236519</c:v>
                </c:pt>
                <c:pt idx="4">
                  <c:v>95.903697930198319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56-448D-9122-E75434DA4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616128"/>
        <c:axId val="1268612800"/>
      </c:scatterChart>
      <c:valAx>
        <c:axId val="126861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12800"/>
        <c:crosses val="autoZero"/>
        <c:crossBetween val="midCat"/>
      </c:valAx>
      <c:valAx>
        <c:axId val="1268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1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288925</xdr:colOff>
      <xdr:row>4</xdr:row>
      <xdr:rowOff>25400</xdr:rowOff>
    </xdr:from>
    <xdr:to>
      <xdr:col>15</xdr:col>
      <xdr:colOff>593725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323B99-7B5D-4481-A1A0-904F1871E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835F-189C-4EDE-BB92-E1AFB052C504}">
  <dimension ref="A1:H32"/>
  <sheetViews>
    <sheetView tabSelected="1" zoomScaleNormal="100" workbookViewId="0"/>
  </sheetViews>
  <sheetFormatPr defaultRowHeight="14.5" x14ac:dyDescent="0.35"/>
  <cols>
    <col min="1" max="1" width="13" customWidth="1"/>
    <col min="2" max="2" width="12.7265625" customWidth="1"/>
    <col min="5" max="6" width="15.08984375" customWidth="1"/>
  </cols>
  <sheetData>
    <row r="1" spans="1:8" x14ac:dyDescent="0.35">
      <c r="A1" t="s">
        <v>18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35">
      <c r="A2" s="1" t="s">
        <v>6</v>
      </c>
      <c r="B2">
        <v>38</v>
      </c>
      <c r="C2">
        <v>113.6</v>
      </c>
      <c r="D2">
        <f>(C2/C$9)*100</f>
        <v>4.9190265869922918</v>
      </c>
      <c r="E2">
        <f>E3-D3</f>
        <v>4.9190265869923042</v>
      </c>
      <c r="G2">
        <f>100-(100*EXP(-((B2/B$11)^B$10)))</f>
        <v>6.4879912287893404</v>
      </c>
      <c r="H2">
        <f>(G2-E2)^2</f>
        <v>2.4616500472093019</v>
      </c>
    </row>
    <row r="3" spans="1:8" x14ac:dyDescent="0.35">
      <c r="A3" s="1" t="s">
        <v>7</v>
      </c>
      <c r="B3">
        <v>75</v>
      </c>
      <c r="C3">
        <v>343.1</v>
      </c>
      <c r="D3">
        <f t="shared" ref="D3:D7" si="0">(C3/C$9)*100</f>
        <v>14.85667272884732</v>
      </c>
      <c r="E3">
        <f>E4-D4</f>
        <v>19.775699315839624</v>
      </c>
      <c r="G3">
        <f t="shared" ref="G3:G7" si="1">100-(100*EXP(-((B3/B$11)^B$10)))</f>
        <v>21.637202186801204</v>
      </c>
      <c r="H3">
        <f t="shared" ref="H3:H7" si="2">(G3-E3)^2</f>
        <v>3.4651929385982045</v>
      </c>
    </row>
    <row r="4" spans="1:8" x14ac:dyDescent="0.35">
      <c r="A4" s="1" t="s">
        <v>8</v>
      </c>
      <c r="B4">
        <v>106</v>
      </c>
      <c r="C4">
        <v>483.1</v>
      </c>
      <c r="D4">
        <f t="shared" si="0"/>
        <v>20.918853381830779</v>
      </c>
      <c r="E4">
        <f>E5-D5</f>
        <v>40.694552697670403</v>
      </c>
      <c r="G4">
        <f t="shared" si="1"/>
        <v>37.510395439759115</v>
      </c>
      <c r="H4">
        <f t="shared" si="2"/>
        <v>10.138857443109131</v>
      </c>
    </row>
    <row r="5" spans="1:8" x14ac:dyDescent="0.35">
      <c r="A5" s="1" t="s">
        <v>9</v>
      </c>
      <c r="B5">
        <v>150</v>
      </c>
      <c r="C5">
        <v>413.7</v>
      </c>
      <c r="D5">
        <f t="shared" si="0"/>
        <v>17.913743829566119</v>
      </c>
      <c r="E5">
        <f>E6-D6</f>
        <v>58.608296527236519</v>
      </c>
      <c r="G5">
        <f t="shared" si="1"/>
        <v>59.698996045805764</v>
      </c>
      <c r="H5">
        <f t="shared" si="2"/>
        <v>1.1896254398071833</v>
      </c>
    </row>
    <row r="6" spans="1:8" x14ac:dyDescent="0.35">
      <c r="A6" s="1" t="s">
        <v>10</v>
      </c>
      <c r="B6">
        <v>300</v>
      </c>
      <c r="C6">
        <v>861.3</v>
      </c>
      <c r="D6">
        <f t="shared" si="0"/>
        <v>37.295401402961801</v>
      </c>
      <c r="E6">
        <f>E7-D7</f>
        <v>95.903697930198319</v>
      </c>
      <c r="G6">
        <f>100-(100*EXP(-((B6/B$11)^B$10)))</f>
        <v>96.620180628760224</v>
      </c>
      <c r="H6">
        <f t="shared" si="2"/>
        <v>0.5133474573385487</v>
      </c>
    </row>
    <row r="7" spans="1:8" x14ac:dyDescent="0.35">
      <c r="A7" s="1" t="s">
        <v>11</v>
      </c>
      <c r="B7">
        <v>500</v>
      </c>
      <c r="C7">
        <v>94.6</v>
      </c>
      <c r="D7">
        <f t="shared" si="0"/>
        <v>4.0963020698016797</v>
      </c>
      <c r="E7">
        <v>100</v>
      </c>
      <c r="G7">
        <f t="shared" si="1"/>
        <v>99.986793125609523</v>
      </c>
      <c r="H7">
        <f t="shared" si="2"/>
        <v>1.7442153116583041E-4</v>
      </c>
    </row>
    <row r="9" spans="1:8" x14ac:dyDescent="0.35">
      <c r="B9" t="s">
        <v>12</v>
      </c>
      <c r="C9">
        <f>SUM(C2:C7)</f>
        <v>2309.4</v>
      </c>
      <c r="D9">
        <f>SUM(D2:D7)</f>
        <v>99.999999999999986</v>
      </c>
      <c r="H9">
        <f>SUM(H2:H7)</f>
        <v>17.768847747593536</v>
      </c>
    </row>
    <row r="10" spans="1:8" x14ac:dyDescent="0.35">
      <c r="A10" s="1" t="s">
        <v>13</v>
      </c>
      <c r="B10">
        <v>1.8981312692470267</v>
      </c>
    </row>
    <row r="11" spans="1:8" x14ac:dyDescent="0.35">
      <c r="A11" s="1" t="s">
        <v>14</v>
      </c>
      <c r="B11">
        <v>157.75136239672983</v>
      </c>
      <c r="G11">
        <f>100-(100*EXP(-((B12/B$11)^B$10)))</f>
        <v>80.000022838761311</v>
      </c>
    </row>
    <row r="12" spans="1:8" ht="16.5" x14ac:dyDescent="0.45">
      <c r="A12" s="1" t="s">
        <v>15</v>
      </c>
      <c r="B12">
        <v>202.70118203774641</v>
      </c>
    </row>
    <row r="16" spans="1:8" x14ac:dyDescent="0.35">
      <c r="A16" t="s">
        <v>16</v>
      </c>
      <c r="B16" t="s">
        <v>17</v>
      </c>
    </row>
    <row r="17" spans="1:2" x14ac:dyDescent="0.35">
      <c r="A17">
        <v>2</v>
      </c>
      <c r="B17">
        <f>100-(100*EXP(-((A17/B$11)^B$10)))</f>
        <v>2.5078322310150725E-2</v>
      </c>
    </row>
    <row r="18" spans="1:2" x14ac:dyDescent="0.35">
      <c r="A18">
        <v>10</v>
      </c>
      <c r="B18">
        <f t="shared" ref="B18:B32" si="3">100-(100*EXP(-((A18/B$11)^B$10)))</f>
        <v>0.5308044792972737</v>
      </c>
    </row>
    <row r="19" spans="1:2" x14ac:dyDescent="0.35">
      <c r="A19">
        <v>20</v>
      </c>
      <c r="B19">
        <f t="shared" si="3"/>
        <v>1.96419092950795</v>
      </c>
    </row>
    <row r="20" spans="1:2" x14ac:dyDescent="0.35">
      <c r="A20">
        <v>50</v>
      </c>
      <c r="B20">
        <f t="shared" si="3"/>
        <v>10.679082541199946</v>
      </c>
    </row>
    <row r="21" spans="1:2" x14ac:dyDescent="0.35">
      <c r="A21">
        <v>100</v>
      </c>
      <c r="B21">
        <f t="shared" si="3"/>
        <v>34.357104608775501</v>
      </c>
    </row>
    <row r="22" spans="1:2" x14ac:dyDescent="0.35">
      <c r="A22">
        <v>200</v>
      </c>
      <c r="B22">
        <f t="shared" si="3"/>
        <v>79.174105358346765</v>
      </c>
    </row>
    <row r="23" spans="1:2" x14ac:dyDescent="0.35">
      <c r="A23">
        <v>300</v>
      </c>
      <c r="B23">
        <f t="shared" si="3"/>
        <v>96.620180628760224</v>
      </c>
    </row>
    <row r="24" spans="1:2" x14ac:dyDescent="0.35">
      <c r="A24">
        <v>350</v>
      </c>
      <c r="B24">
        <f t="shared" si="3"/>
        <v>98.931294611046454</v>
      </c>
    </row>
    <row r="25" spans="1:2" x14ac:dyDescent="0.35">
      <c r="A25">
        <v>400</v>
      </c>
      <c r="B25">
        <f t="shared" si="3"/>
        <v>99.711443492977835</v>
      </c>
    </row>
    <row r="26" spans="1:2" x14ac:dyDescent="0.35">
      <c r="A26">
        <v>500</v>
      </c>
      <c r="B26">
        <f t="shared" si="3"/>
        <v>99.986793125609523</v>
      </c>
    </row>
    <row r="27" spans="1:2" x14ac:dyDescent="0.35">
      <c r="A27">
        <v>550</v>
      </c>
      <c r="B27">
        <f t="shared" si="3"/>
        <v>99.997753426948194</v>
      </c>
    </row>
    <row r="28" spans="1:2" x14ac:dyDescent="0.35">
      <c r="A28">
        <v>600</v>
      </c>
      <c r="B28">
        <f t="shared" si="3"/>
        <v>99.999671342562124</v>
      </c>
    </row>
    <row r="29" spans="1:2" x14ac:dyDescent="0.35">
      <c r="A29">
        <v>650</v>
      </c>
      <c r="B29">
        <f t="shared" si="3"/>
        <v>99.999958595494704</v>
      </c>
    </row>
    <row r="30" spans="1:2" x14ac:dyDescent="0.35">
      <c r="A30">
        <v>700</v>
      </c>
      <c r="B30">
        <f t="shared" si="3"/>
        <v>99.999995502607874</v>
      </c>
    </row>
    <row r="31" spans="1:2" x14ac:dyDescent="0.35">
      <c r="A31">
        <v>800</v>
      </c>
      <c r="B31">
        <f t="shared" si="3"/>
        <v>99.999999965840118</v>
      </c>
    </row>
    <row r="32" spans="1:2" x14ac:dyDescent="0.35">
      <c r="A32">
        <v>840</v>
      </c>
      <c r="B32">
        <f t="shared" si="3"/>
        <v>99.999999995879534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nii</dc:creator>
  <cp:lastModifiedBy>james nii</cp:lastModifiedBy>
  <dcterms:created xsi:type="dcterms:W3CDTF">2026-06-19T11:08:42Z</dcterms:created>
  <dcterms:modified xsi:type="dcterms:W3CDTF">2026-06-23T19:51:43Z</dcterms:modified>
</cp:coreProperties>
</file>